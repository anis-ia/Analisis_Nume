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amendoza/Desktop/"/>
    </mc:Choice>
  </mc:AlternateContent>
  <xr:revisionPtr revIDLastSave="0" documentId="8_{FE3FA5C1-9BA3-E24B-82DA-DCE51097926A}" xr6:coauthVersionLast="47" xr6:coauthVersionMax="47" xr10:uidLastSave="{00000000-0000-0000-0000-000000000000}"/>
  <bookViews>
    <workbookView xWindow="15500" yWindow="840" windowWidth="28040" windowHeight="17440" xr2:uid="{791286B8-C0E3-F14B-A842-283FCC98AD9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6" i="1"/>
  <c r="E7" i="1"/>
  <c r="E8" i="1"/>
  <c r="E9" i="1"/>
  <c r="E10" i="1"/>
  <c r="E11" i="1"/>
  <c r="E5" i="1"/>
  <c r="D6" i="1"/>
  <c r="D7" i="1"/>
  <c r="F6" i="1" s="1"/>
  <c r="D8" i="1"/>
  <c r="D9" i="1"/>
  <c r="F9" i="1" s="1"/>
  <c r="D10" i="1"/>
  <c r="D11" i="1"/>
  <c r="D5" i="1"/>
  <c r="F5" i="1" s="1"/>
  <c r="G5" i="1" l="1"/>
  <c r="G9" i="1"/>
  <c r="F8" i="1"/>
  <c r="G8" i="1" s="1"/>
  <c r="H8" i="1" s="1"/>
  <c r="F7" i="1"/>
  <c r="G7" i="1" s="1"/>
  <c r="H7" i="1" s="1"/>
  <c r="G6" i="1" l="1"/>
  <c r="H5" i="1" s="1"/>
  <c r="I7" i="1"/>
  <c r="H6" i="1"/>
  <c r="I5" i="1" s="1"/>
  <c r="I6" i="1" l="1"/>
  <c r="J5" i="1" s="1"/>
  <c r="J6" i="1" l="1"/>
  <c r="K5" i="1" s="1"/>
  <c r="E17" i="1" s="1"/>
  <c r="D17" i="1" l="1"/>
  <c r="D18" i="1"/>
  <c r="E18" i="1"/>
</calcChain>
</file>

<file path=xl/sharedStrings.xml><?xml version="1.0" encoding="utf-8"?>
<sst xmlns="http://schemas.openxmlformats.org/spreadsheetml/2006/main" count="13" uniqueCount="13">
  <si>
    <t>h(ft)</t>
  </si>
  <si>
    <t>T(F)</t>
  </si>
  <si>
    <t>x</t>
  </si>
  <si>
    <t>y</t>
  </si>
  <si>
    <t>1er</t>
  </si>
  <si>
    <t>2do</t>
  </si>
  <si>
    <t>3ro</t>
  </si>
  <si>
    <t>4to</t>
  </si>
  <si>
    <t>5to</t>
  </si>
  <si>
    <t>6to</t>
  </si>
  <si>
    <t>p(x)=</t>
  </si>
  <si>
    <t>Error</t>
  </si>
  <si>
    <t>interpolacion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</si>
</sst>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4EF"/>
        <bgColor indexed="64"/>
      </patternFill>
    </fill>
    <fill>
      <patternFill patternType="solid">
        <fgColor rgb="FFFFE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Fill="1" applyAlignment="1">
      <alignment horizontal="center"/>
    </xf>
    <xf numFmtId="0" fontId="0" fillId="0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4EF"/>
      <color rgb="FFFFE8FA"/>
      <color rgb="FFFFE9FF"/>
      <color rgb="FFFFEBFF"/>
      <color rgb="FFFF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B126-EDEC-9C48-9228-D039D6DD44C8}">
  <dimension ref="B2:K27"/>
  <sheetViews>
    <sheetView tabSelected="1" workbookViewId="0">
      <selection activeCell="I21" sqref="I21"/>
    </sheetView>
  </sheetViews>
  <sheetFormatPr baseColWidth="10" defaultRowHeight="16" x14ac:dyDescent="0.2"/>
  <sheetData>
    <row r="2" spans="2:11" x14ac:dyDescent="0.2">
      <c r="E2" t="s">
        <v>12</v>
      </c>
    </row>
    <row r="4" spans="2:11" x14ac:dyDescent="0.2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</row>
    <row r="5" spans="2:11" x14ac:dyDescent="0.2">
      <c r="B5" s="3">
        <v>-1000</v>
      </c>
      <c r="C5" s="3">
        <v>213.9</v>
      </c>
      <c r="D5" s="6">
        <f>B5/3.28084</f>
        <v>-304.79999024640034</v>
      </c>
      <c r="E5" s="6">
        <f>(C5-32)/1.8</f>
        <v>101.05555555555556</v>
      </c>
      <c r="F5" s="5">
        <f>+(E6-E5)/(D6-D5)</f>
        <v>-3.4631088888888938E-3</v>
      </c>
      <c r="G5" s="5">
        <f>+(F6-F5)/(D7-D5)</f>
        <v>-4.9832921785186722E-8</v>
      </c>
      <c r="H5" s="5">
        <f>+(G6-G5)/(D8-D5)</f>
        <v>1.5559390847760591E-24</v>
      </c>
      <c r="I5" s="5">
        <f>+(H6-H5)/(D9-D5)</f>
        <v>9.2592363491743167E-15</v>
      </c>
      <c r="J5" s="5">
        <f>+(I6-I5)/(D10-D5)</f>
        <v>-2.7898772663006027E-18</v>
      </c>
      <c r="K5" s="5">
        <f>+(J6-J5)/(D11-D5)</f>
        <v>5.1263510790308349E-22</v>
      </c>
    </row>
    <row r="6" spans="2:11" x14ac:dyDescent="0.2">
      <c r="B6" s="3">
        <v>0</v>
      </c>
      <c r="C6" s="3">
        <v>212</v>
      </c>
      <c r="D6" s="6">
        <f t="shared" ref="D6:D11" si="0">B6/3.28084</f>
        <v>0</v>
      </c>
      <c r="E6" s="6">
        <f t="shared" ref="E6:E11" si="1">(C6-32)/1.8</f>
        <v>100</v>
      </c>
      <c r="F6" s="5">
        <f>+(E7-E6)/(D7-D6)</f>
        <v>-3.523865185185192E-3</v>
      </c>
      <c r="G6" s="5">
        <f>+(F7-F6)/(D8-D6)</f>
        <v>-4.9832921785182454E-8</v>
      </c>
      <c r="H6" s="5">
        <f>+(G7-G6)/(D9-D6)</f>
        <v>4.5155442382680714E-11</v>
      </c>
      <c r="I6" s="5">
        <f>+(H7-H6)/(D10-D5)</f>
        <v>-1.0298918612638471E-14</v>
      </c>
      <c r="J6" s="5">
        <f>+(I7-I6)/(D11-D6)</f>
        <v>1.7414068344752413E-18</v>
      </c>
    </row>
    <row r="7" spans="2:11" x14ac:dyDescent="0.2">
      <c r="B7" s="3">
        <v>3000</v>
      </c>
      <c r="C7" s="3">
        <v>206.2</v>
      </c>
      <c r="D7" s="6">
        <f t="shared" si="0"/>
        <v>914.39997073920097</v>
      </c>
      <c r="E7" s="6">
        <f t="shared" si="1"/>
        <v>96.777777777777771</v>
      </c>
      <c r="F7" s="5">
        <f>+(E8-E7)/(D8-D7)</f>
        <v>-3.6453777777777779E-3</v>
      </c>
      <c r="G7" s="5">
        <f>+(F8-F7)/(D9-D7)</f>
        <v>1.5661775418201212E-7</v>
      </c>
      <c r="H7" s="5">
        <f>+(G8-G7)/(D10-D7)</f>
        <v>-2.7044094348974856E-11</v>
      </c>
      <c r="I7" s="5">
        <f>+(H8-H7)/(D11-D7)</f>
        <v>4.5629433999274407E-15</v>
      </c>
    </row>
    <row r="8" spans="2:11" x14ac:dyDescent="0.2">
      <c r="B8" s="3">
        <v>8000</v>
      </c>
      <c r="C8" s="3">
        <v>196.2</v>
      </c>
      <c r="D8" s="6">
        <f t="shared" si="0"/>
        <v>2438.3999219712027</v>
      </c>
      <c r="E8" s="6">
        <f t="shared" si="1"/>
        <v>91.222222222222214</v>
      </c>
      <c r="F8" s="5">
        <f>+(E9-E8)/(D9-D8)</f>
        <v>-3.0725326984126929E-3</v>
      </c>
      <c r="G8" s="5">
        <f>+(F9-F8)/(D10-D8)</f>
        <v>-2.9473063374783691E-21</v>
      </c>
      <c r="H8" s="5">
        <f>+(G9-G8)/(D11-D8)</f>
        <v>7.7255332458441529E-12</v>
      </c>
    </row>
    <row r="9" spans="2:11" x14ac:dyDescent="0.2">
      <c r="B9" s="3">
        <v>15000</v>
      </c>
      <c r="C9" s="3">
        <v>184.4</v>
      </c>
      <c r="D9" s="6">
        <f t="shared" si="0"/>
        <v>4571.9998536960047</v>
      </c>
      <c r="E9" s="6">
        <f t="shared" si="1"/>
        <v>84.666666666666671</v>
      </c>
      <c r="F9" s="5">
        <f>+(E10-E9)/(D10-D9)</f>
        <v>-3.0725326984127055E-3</v>
      </c>
      <c r="G9" s="5">
        <f>+(F10-F9)/(D11-D9)</f>
        <v>4.7094849159627833E-8</v>
      </c>
    </row>
    <row r="10" spans="2:11" x14ac:dyDescent="0.2">
      <c r="B10" s="3">
        <v>22000</v>
      </c>
      <c r="C10" s="3">
        <v>172.6</v>
      </c>
      <c r="D10" s="6">
        <f t="shared" si="0"/>
        <v>6705.5997854208072</v>
      </c>
      <c r="E10" s="6">
        <f t="shared" si="1"/>
        <v>78.1111111111111</v>
      </c>
      <c r="F10" s="5">
        <f>+(E11-E10)/(D11-D10)</f>
        <v>-2.8859240740740722E-3</v>
      </c>
    </row>
    <row r="11" spans="2:11" x14ac:dyDescent="0.2">
      <c r="B11" s="3">
        <v>28000</v>
      </c>
      <c r="C11" s="3">
        <v>163.1</v>
      </c>
      <c r="D11" s="6">
        <f t="shared" si="0"/>
        <v>8534.399726899208</v>
      </c>
      <c r="E11" s="6">
        <f t="shared" si="1"/>
        <v>72.833333333333329</v>
      </c>
    </row>
    <row r="14" spans="2:11" x14ac:dyDescent="0.2">
      <c r="G14" s="2"/>
    </row>
    <row r="15" spans="2:11" x14ac:dyDescent="0.2">
      <c r="D15" s="1"/>
      <c r="E15" s="1"/>
    </row>
    <row r="16" spans="2:11" x14ac:dyDescent="0.2">
      <c r="D16" s="8">
        <v>3640</v>
      </c>
      <c r="E16" s="8">
        <v>4110</v>
      </c>
    </row>
    <row r="17" spans="3:10" x14ac:dyDescent="0.2">
      <c r="C17" s="7" t="s">
        <v>10</v>
      </c>
      <c r="D17">
        <f>+E5+F5*(D16-D5)+G5*(D16-E5)*(D16-D6)+H5*(D16-E5)*(D16-D6)*(D16-D7)+I5*(D16-E5)*(D16-D6)*(D16-D7)*(D16-D8)+J5*(D16-E5)*(D16-D6)*(D16-D7)*(D16-D8)*(D16-D9)+K5*(D16-E5)*(D16-D6)*(D16-D7)*(D16-D8)*(D16-D9)*(D16-D10)</f>
        <v>87.314474624347454</v>
      </c>
      <c r="E17">
        <f>+E5+F5*(E16-D5)+G5*(E16-E5)*(E16-D6)+H5*(E16-E5)*(D16-D6)*(E16-D7)+I5*(E16-E5)*(E16-D6)*(E16-D7)*(E16-D8)+J5*(E16-E5)*(E16-D6)*(E16-D7)*(E16-D8)*(E16-D9)+K5*(E16-E5)*(E16-D6)*(E16-D7)*(E16-D8)*(E16-D9)*(E16-D10)</f>
        <v>85.928039346530696</v>
      </c>
    </row>
    <row r="18" spans="3:10" x14ac:dyDescent="0.2">
      <c r="C18" s="7" t="s">
        <v>11</v>
      </c>
      <c r="D18">
        <f>+K5*(D16-E5)*(D16-E6)*(D16-E7)*(D16-E8)*(D16-E9)*(D16-E10)*(D16-E11)/FACT(6)</f>
        <v>5.066571148434444</v>
      </c>
      <c r="E18">
        <f>+K5*(E16-E5)*(E16-E6)*(E16-E7)*(E16-E8)*(E16-E9)*(E16-E10)*(E16-E11)/FACT(6)</f>
        <v>12.095519999105376</v>
      </c>
    </row>
    <row r="27" spans="3:10" x14ac:dyDescent="0.2">
      <c r="J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paulamendoza715@gmail.com</dc:creator>
  <cp:lastModifiedBy>paulamendoza715@gmail.com</cp:lastModifiedBy>
  <dcterms:created xsi:type="dcterms:W3CDTF">2024-10-10T14:30:34Z</dcterms:created>
  <dcterms:modified xsi:type="dcterms:W3CDTF">2024-10-14T23:57:20Z</dcterms:modified>
</cp:coreProperties>
</file>